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95"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<sst xmlns="http://schemas.openxmlformats.org/spreadsheetml/2006/main" count="272" uniqueCount="117">
  <si>
    <t>id</t>
  </si>
  <si>
    <t>采购单号</t>
  </si>
  <si>
    <t>序号</t>
  </si>
  <si>
    <t>需求商</t>
  </si>
  <si>
    <t>物料编号</t>
  </si>
  <si>
    <t>产品名称</t>
  </si>
  <si>
    <t>规格型号</t>
  </si>
  <si>
    <t>数量(kg)</t>
  </si>
  <si>
    <t>含税单价</t>
  </si>
  <si>
    <t>下单时间</t>
  </si>
  <si>
    <t>需求时间</t>
  </si>
  <si>
    <t>优先级</t>
  </si>
  <si>
    <t>状态</t>
  </si>
  <si>
    <t>实际数量(kg)</t>
  </si>
  <si>
    <t>实际金额</t>
  </si>
  <si>
    <t>发货日期</t>
  </si>
  <si>
    <t>出仓字号</t>
  </si>
  <si>
    <t>备注</t>
  </si>
  <si>
    <t>中山焊友</t>
  </si>
  <si>
    <t>棒料</t>
  </si>
  <si>
    <t>20/3
18/20
16/15</t>
  </si>
  <si>
    <t>正常</t>
  </si>
  <si>
    <t>未锻造</t>
  </si>
  <si>
    <t>ACG0-24051000045</t>
  </si>
  <si>
    <t>1</t>
  </si>
  <si>
    <t>广州亨龙智能装备</t>
  </si>
  <si>
    <t>Y1311-000876</t>
  </si>
  <si>
    <t>铬锆铜板</t>
  </si>
  <si>
    <r>
      <rPr>
        <sz val="12"/>
        <color indexed="8"/>
        <rFont val="Arial Black"/>
        <charset val="134"/>
      </rPr>
      <t>18mm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145*71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*5</t>
    </r>
  </si>
  <si>
    <t>8.245</t>
  </si>
  <si>
    <t>109.0</t>
  </si>
  <si>
    <t>2024-05-16</t>
  </si>
  <si>
    <t>加急</t>
  </si>
  <si>
    <t>锻造中</t>
  </si>
  <si>
    <t>2</t>
  </si>
  <si>
    <r>
      <rPr>
        <sz val="12"/>
        <color indexed="8"/>
        <rFont val="Arial Black"/>
        <charset val="134"/>
      </rPr>
      <t>18mm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155*105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</si>
  <si>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5.214</t>
  </si>
  <si>
    <t>3</t>
  </si>
  <si>
    <t>Y1311-000884</t>
  </si>
  <si>
    <r>
      <rPr>
        <sz val="12"/>
        <color indexed="8"/>
        <rFont val="Arial Black"/>
        <charset val="134"/>
      </rPr>
      <t>45mm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318*205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*3</t>
    </r>
  </si>
  <si>
    <t>78.327</t>
  </si>
  <si>
    <t>4</t>
  </si>
  <si>
    <t>Y1311-000887</t>
  </si>
  <si>
    <r>
      <rPr>
        <sz val="12"/>
        <color indexed="8"/>
        <rFont val="Arial Black"/>
        <charset val="134"/>
      </rPr>
      <t>60mm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100*65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*3</t>
    </r>
  </si>
  <si>
    <t>10.413</t>
  </si>
  <si>
    <t>5</t>
  </si>
  <si>
    <r>
      <rPr>
        <sz val="12"/>
        <color indexed="8"/>
        <rFont val="Arial Black"/>
        <charset val="134"/>
      </rPr>
      <t>60mm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145*65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</si>
  <si>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10.066</t>
  </si>
  <si>
    <t>6</t>
  </si>
  <si>
    <r>
      <rPr>
        <sz val="12"/>
        <color indexed="8"/>
        <rFont val="Arial Black"/>
        <charset val="134"/>
      </rPr>
      <t>60mm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150*65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</si>
  <si>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10.414</t>
  </si>
  <si>
    <t>7</t>
  </si>
  <si>
    <t>Y1311-000880</t>
  </si>
  <si>
    <r>
      <rPr>
        <sz val="12"/>
        <color indexed="8"/>
        <rFont val="Arial Black"/>
        <charset val="134"/>
      </rPr>
      <t>30mm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205*95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*3</t>
    </r>
  </si>
  <si>
    <t>15.6</t>
  </si>
  <si>
    <t>8</t>
  </si>
  <si>
    <t>Y1311-001001</t>
  </si>
  <si>
    <r>
      <rPr>
        <sz val="12"/>
        <color indexed="8"/>
        <rFont val="Arial Black"/>
        <charset val="134"/>
      </rPr>
      <t>90mm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244*185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</si>
  <si>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72.314</t>
  </si>
  <si>
    <t>9</t>
  </si>
  <si>
    <t>Y1311-000879</t>
  </si>
  <si>
    <r>
      <rPr>
        <sz val="12"/>
        <color indexed="8"/>
        <rFont val="Arial Black"/>
        <charset val="134"/>
      </rPr>
      <t>25mm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175*173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</si>
  <si>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13.472</t>
  </si>
  <si>
    <t>10</t>
  </si>
  <si>
    <t>Y1311-000892</t>
  </si>
  <si>
    <r>
      <rPr>
        <sz val="12"/>
        <color indexed="8"/>
        <rFont val="Arial Black"/>
        <charset val="134"/>
      </rPr>
      <t>95mm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324*147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</si>
  <si>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40.269</t>
  </si>
  <si>
    <t>ACG0-24050800026</t>
  </si>
  <si>
    <t>Y1311-000890</t>
  </si>
  <si>
    <r>
      <rPr>
        <sz val="12"/>
        <color indexed="8"/>
        <rFont val="Arial Black"/>
        <charset val="134"/>
      </rPr>
      <t>75mm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94*80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*4</t>
    </r>
  </si>
  <si>
    <t>20.08</t>
  </si>
  <si>
    <t>2024-05-15</t>
  </si>
  <si>
    <t>Y1311-000878</t>
  </si>
  <si>
    <r>
      <rPr>
        <sz val="12"/>
        <color indexed="8"/>
        <rFont val="Arial Black"/>
        <charset val="134"/>
      </rPr>
      <t>22mm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283*283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</si>
  <si>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15.681</t>
  </si>
  <si>
    <r>
      <rPr>
        <sz val="12"/>
        <color indexed="8"/>
        <rFont val="Arial Black"/>
        <charset val="134"/>
      </rPr>
      <t>25mm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163*163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</si>
  <si>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5.912</t>
  </si>
  <si>
    <t>2024-05-08</t>
  </si>
  <si>
    <t>Y1315-000139</t>
  </si>
  <si>
    <t>铬锆铜棒</t>
  </si>
  <si>
    <r>
      <rPr>
        <sz val="12"/>
        <color indexed="8"/>
        <rFont val="Arial Black"/>
        <charset val="134"/>
      </rPr>
      <t>φ70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235*0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</si>
  <si>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8.045</t>
  </si>
  <si>
    <t>Y1311-000885</t>
  </si>
  <si>
    <r>
      <rPr>
        <sz val="12"/>
        <color indexed="8"/>
        <rFont val="Arial Black"/>
        <charset val="134"/>
      </rPr>
      <t>50mm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400*300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</si>
  <si>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106.8</t>
  </si>
  <si>
    <t>Y1315-000334</t>
  </si>
  <si>
    <r>
      <rPr>
        <sz val="12"/>
        <color indexed="8"/>
        <rFont val="Arial Black"/>
        <charset val="134"/>
      </rPr>
      <t>φ130mm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25*0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</si>
  <si>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2.95</t>
  </si>
  <si>
    <t>ACG0-24051000018</t>
  </si>
  <si>
    <r>
      <rPr>
        <sz val="12"/>
        <color indexed="8"/>
        <rFont val="Arial Black"/>
        <charset val="134"/>
      </rPr>
      <t>φ70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227*0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</si>
  <si>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15.542</t>
  </si>
  <si>
    <r>
      <rPr>
        <sz val="12"/>
        <color indexed="8"/>
        <rFont val="Arial Black"/>
        <charset val="134"/>
      </rPr>
      <t>φ70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1000*0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*1</t>
    </r>
  </si>
  <si>
    <t>34.234</t>
  </si>
  <si>
    <t>Y1315-000141</t>
  </si>
  <si>
    <r>
      <rPr>
        <sz val="12"/>
        <color indexed="8"/>
        <rFont val="Arial Black"/>
        <charset val="134"/>
      </rPr>
      <t>Ф82</t>
    </r>
    <r>
      <rPr>
        <sz val="12"/>
        <color indexed="8"/>
        <rFont val="华文中宋"/>
        <charset val="134"/>
      </rPr>
      <t>【</t>
    </r>
    <r>
      <rPr>
        <sz val="12"/>
        <color indexed="8"/>
        <rFont val="Arial Black"/>
        <charset val="134"/>
      </rPr>
      <t>1000*0</t>
    </r>
    <r>
      <rPr>
        <sz val="12"/>
        <color indexed="8"/>
        <rFont val="华文中宋"/>
        <charset val="134"/>
      </rPr>
      <t>】</t>
    </r>
    <r>
      <rPr>
        <sz val="12"/>
        <color indexed="8"/>
        <rFont val="Arial Black"/>
        <charset val="134"/>
      </rPr>
      <t>*2</t>
    </r>
  </si>
  <si>
    <t>93.954</t>
  </si>
  <si>
    <t>2024-05-20</t>
  </si>
  <si>
    <t>惠顺焊材</t>
  </si>
  <si>
    <t>12/45
14/25
16/12</t>
  </si>
  <si>
    <t>部分发货</t>
  </si>
  <si>
    <t>12,16已发</t>
  </si>
  <si>
    <t>中山创业</t>
  </si>
  <si>
    <t>铬毛坯</t>
  </si>
  <si>
    <t>16x65x1000*1
25x50x1000*1
16x45x1000*1
35X45x120*1
35x80X168*1
30x165x305*2</t>
  </si>
  <si>
    <t>897光坯</t>
  </si>
  <si>
    <t>16x91x108*1
56x79X138*1</t>
  </si>
  <si>
    <t>广东致鸿物流器材公司</t>
  </si>
  <si>
    <t>23*80*1000*40</t>
  </si>
  <si>
    <t>东莞合发</t>
  </si>
  <si>
    <t>铬锆铜圆饼</t>
  </si>
  <si>
    <t>D150*50*4</t>
  </si>
  <si>
    <t>一边做圆角R8一边做直角</t>
  </si>
  <si>
    <t>广州新伟民</t>
  </si>
  <si>
    <t>897毛坯</t>
  </si>
  <si>
    <t>23*38*260*6
23*23*250*2
18*68*600*2
18*72*600*2
38*41*53*2</t>
  </si>
  <si>
    <t>ACG0-24051300074</t>
  </si>
  <si>
    <t>45mm【212*180】*2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</si>
</sst>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#,##0.00"/>
    <numFmt numFmtId="177" formatCode="yyyy/m/d;@"/>
  </numFmts>
  <fonts count="27">
    <font>
      <sz val="11"/>
      <color theme="1"/>
      <name val="宋体"/>
      <charset val="134"/>
      <scheme val="minor"/>
    </font>
    <font>
      <sz val="12"/>
      <color theme="1"/>
      <name val="华文中宋"/>
      <charset val="134"/>
    </font>
    <font>
      <sz val="12"/>
      <color theme="1"/>
      <name val="Arial Black"/>
      <charset val="134"/>
    </font>
    <font>
      <b/>
      <sz val="12"/>
      <color indexed="8"/>
      <name val="华文中宋"/>
      <charset val="134"/>
    </font>
    <font>
      <sz val="12"/>
      <color indexed="8"/>
      <name val="华文中宋"/>
      <charset val="134"/>
    </font>
    <font>
      <sz val="12"/>
      <color indexed="8"/>
      <name val="Arial Black"/>
      <charset val="134"/>
    </font>
    <font>
      <sz val="12"/>
      <color indexed="8"/>
      <name val="宋体"/>
      <charset val="134"/>
    </font>
    <font>
      <b/>
      <sz val="12"/>
      <color theme="1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vertical="center"/>
    </xf>
    <xf numFmtId="0" fontId="7" fillId="2" borderId="1" xfId="0" applyFont="1" applyFill="1" applyBorder="1">
      <alignment vertical="center"/>
    </xf>
    <xf numFmtId="176" fontId="7" fillId="2" borderId="1" xfId="0" applyNumberFormat="1" applyFont="1" applyFill="1" applyBorder="1">
      <alignment vertical="center"/>
    </xf>
    <xf numFmtId="177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>
      <alignment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A4" sqref="A4"/>
    </sheetView>
  </sheetViews>
  <sheetFormatPr defaultColWidth="9" defaultRowHeight="19.5"/>
  <cols>
    <col min="1" max="1" width="9" style="1"/>
    <col min="2" max="2" width="19.375" style="1" customWidth="1"/>
    <col min="3" max="3" width="5.25" style="1" customWidth="1"/>
    <col min="4" max="4" width="21.25" style="1" customWidth="1"/>
    <col min="5" max="5" width="15.125" style="1" customWidth="1"/>
    <col min="6" max="6" width="11.875" style="1" customWidth="1"/>
    <col min="7" max="7" width="18.75" style="2" customWidth="1"/>
    <col min="8" max="8" width="11" style="3" customWidth="1"/>
    <col min="9" max="9" width="11.75" style="3" customWidth="1"/>
    <col min="10" max="10" width="13.125" style="4" customWidth="1"/>
    <col min="11" max="11" width="11.75" style="1" customWidth="1"/>
    <col min="12" max="12" width="9" style="1"/>
    <col min="13" max="13" width="11" style="1" customWidth="1"/>
    <col min="14" max="14" width="13.375" style="1" customWidth="1"/>
    <col min="15" max="15" width="9.625" style="5" customWidth="1"/>
    <col min="16" max="17" width="9" style="1"/>
    <col min="18" max="18" width="23.5" style="1" customWidth="1"/>
    <col min="19" max="16384" width="9" style="1"/>
  </cols>
  <sheetData>
    <row r="1" ht="17.25" spans="1:18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18" t="s">
        <v>11</v>
      </c>
      <c r="M1" s="18" t="s">
        <v>12</v>
      </c>
      <c r="N1" s="18" t="s">
        <v>13</v>
      </c>
      <c r="O1" s="19" t="s">
        <v>14</v>
      </c>
      <c r="P1" s="18" t="s">
        <v>15</v>
      </c>
      <c r="Q1" s="18" t="s">
        <v>16</v>
      </c>
      <c r="R1" s="7" t="s">
        <v>17</v>
      </c>
    </row>
    <row r="2" ht="44" customHeight="1" spans="1:18">
      <c r="A2" s="9">
        <v>1</v>
      </c>
      <c r="B2" s="9"/>
      <c r="C2" s="9"/>
      <c r="D2" s="9" t="s">
        <v>18</v>
      </c>
      <c r="E2" s="9"/>
      <c r="F2" s="9" t="s">
        <v>19</v>
      </c>
      <c r="G2" s="10" t="s">
        <v>20</v>
      </c>
      <c r="H2" s="11"/>
      <c r="I2" s="11">
        <v>105</v>
      </c>
      <c r="J2" s="20">
        <v>45425</v>
      </c>
      <c r="K2" s="9"/>
      <c r="L2" s="9" t="s">
        <v>21</v>
      </c>
      <c r="M2" s="9" t="s">
        <v>22</v>
      </c>
      <c r="N2" s="9"/>
      <c r="O2" s="21">
        <f>I2*N2</f>
        <v>0</v>
      </c>
      <c r="P2" s="9"/>
      <c r="Q2" s="9"/>
      <c r="R2" s="9"/>
    </row>
    <row r="3" spans="1:18">
      <c r="A3" s="9">
        <v>2</v>
      </c>
      <c r="B3" s="9" t="s">
        <v>23</v>
      </c>
      <c r="C3" s="12" t="s">
        <v>24</v>
      </c>
      <c r="D3" s="9" t="s">
        <v>25</v>
      </c>
      <c r="E3" s="13" t="s">
        <v>26</v>
      </c>
      <c r="F3" s="13" t="s">
        <v>27</v>
      </c>
      <c r="G3" s="14" t="s">
        <v>28</v>
      </c>
      <c r="H3" s="12" t="s">
        <v>29</v>
      </c>
      <c r="I3" s="12" t="s">
        <v>30</v>
      </c>
      <c r="J3" s="20">
        <v>45422</v>
      </c>
      <c r="K3" s="12" t="s">
        <v>31</v>
      </c>
      <c r="L3" s="9" t="s">
        <v>32</v>
      </c>
      <c r="M3" s="9" t="s">
        <v>33</v>
      </c>
      <c r="N3" s="9"/>
      <c r="O3" s="21">
        <f t="shared" ref="O3:O21" si="0">I3*N3</f>
        <v>0</v>
      </c>
      <c r="P3" s="9"/>
      <c r="Q3" s="9"/>
      <c r="R3" s="9"/>
    </row>
    <row r="4" spans="1:18">
      <c r="A4" s="9">
        <v>3</v>
      </c>
      <c r="B4" s="9" t="s">
        <v>23</v>
      </c>
      <c r="C4" s="12" t="s">
        <v>34</v>
      </c>
      <c r="D4" s="9" t="s">
        <v>25</v>
      </c>
      <c r="E4" s="13" t="s">
        <v>26</v>
      </c>
      <c r="F4" s="13" t="s">
        <v>27</v>
      </c>
      <c r="G4" s="14" t="s">
        <v>35</v>
      </c>
      <c r="H4" s="12" t="s">
        <v>36</v>
      </c>
      <c r="I4" s="12" t="s">
        <v>30</v>
      </c>
      <c r="J4" s="20">
        <v>45422</v>
      </c>
      <c r="K4" s="12" t="s">
        <v>31</v>
      </c>
      <c r="L4" s="9" t="s">
        <v>32</v>
      </c>
      <c r="M4" s="9" t="s">
        <v>33</v>
      </c>
      <c r="N4" s="9"/>
      <c r="O4" s="21">
        <f t="shared" si="0"/>
        <v>0</v>
      </c>
      <c r="P4" s="9"/>
      <c r="Q4" s="9"/>
      <c r="R4" s="9"/>
    </row>
    <row r="5" spans="1:18">
      <c r="A5" s="9">
        <v>4</v>
      </c>
      <c r="B5" s="9" t="s">
        <v>23</v>
      </c>
      <c r="C5" s="12" t="s">
        <v>37</v>
      </c>
      <c r="D5" s="9" t="s">
        <v>25</v>
      </c>
      <c r="E5" s="13" t="s">
        <v>38</v>
      </c>
      <c r="F5" s="13" t="s">
        <v>27</v>
      </c>
      <c r="G5" s="14" t="s">
        <v>39</v>
      </c>
      <c r="H5" s="12" t="s">
        <v>40</v>
      </c>
      <c r="I5" s="12" t="s">
        <v>30</v>
      </c>
      <c r="J5" s="20">
        <v>45422</v>
      </c>
      <c r="K5" s="12" t="s">
        <v>31</v>
      </c>
      <c r="L5" s="9" t="s">
        <v>32</v>
      </c>
      <c r="M5" s="9" t="s">
        <v>33</v>
      </c>
      <c r="N5" s="9"/>
      <c r="O5" s="21">
        <f t="shared" si="0"/>
        <v>0</v>
      </c>
      <c r="P5" s="9"/>
      <c r="Q5" s="9"/>
      <c r="R5" s="9"/>
    </row>
    <row r="6" spans="1:18">
      <c r="A6" s="9">
        <v>5</v>
      </c>
      <c r="B6" s="9" t="s">
        <v>23</v>
      </c>
      <c r="C6" s="12" t="s">
        <v>41</v>
      </c>
      <c r="D6" s="9" t="s">
        <v>25</v>
      </c>
      <c r="E6" s="13" t="s">
        <v>42</v>
      </c>
      <c r="F6" s="13" t="s">
        <v>27</v>
      </c>
      <c r="G6" s="14" t="s">
        <v>43</v>
      </c>
      <c r="H6" s="12" t="s">
        <v>44</v>
      </c>
      <c r="I6" s="12" t="s">
        <v>30</v>
      </c>
      <c r="J6" s="20">
        <v>45422</v>
      </c>
      <c r="K6" s="12" t="s">
        <v>31</v>
      </c>
      <c r="L6" s="9" t="s">
        <v>32</v>
      </c>
      <c r="M6" s="9" t="s">
        <v>33</v>
      </c>
      <c r="N6" s="9"/>
      <c r="O6" s="21">
        <f t="shared" si="0"/>
        <v>0</v>
      </c>
      <c r="P6" s="9"/>
      <c r="Q6" s="9"/>
      <c r="R6" s="9"/>
    </row>
    <row r="7" spans="1:18">
      <c r="A7" s="9">
        <v>6</v>
      </c>
      <c r="B7" s="9" t="s">
        <v>23</v>
      </c>
      <c r="C7" s="12" t="s">
        <v>45</v>
      </c>
      <c r="D7" s="9" t="s">
        <v>25</v>
      </c>
      <c r="E7" s="13" t="s">
        <v>42</v>
      </c>
      <c r="F7" s="13" t="s">
        <v>27</v>
      </c>
      <c r="G7" s="14" t="s">
        <v>46</v>
      </c>
      <c r="H7" s="12" t="s">
        <v>47</v>
      </c>
      <c r="I7" s="12" t="s">
        <v>30</v>
      </c>
      <c r="J7" s="20">
        <v>45422</v>
      </c>
      <c r="K7" s="12" t="s">
        <v>31</v>
      </c>
      <c r="L7" s="9" t="s">
        <v>32</v>
      </c>
      <c r="M7" s="9" t="s">
        <v>33</v>
      </c>
      <c r="N7" s="9"/>
      <c r="O7" s="21">
        <f t="shared" si="0"/>
        <v>0</v>
      </c>
      <c r="P7" s="9"/>
      <c r="Q7" s="9"/>
      <c r="R7" s="9"/>
    </row>
    <row r="8" spans="1:18">
      <c r="A8" s="9">
        <v>7</v>
      </c>
      <c r="B8" s="9" t="s">
        <v>23</v>
      </c>
      <c r="C8" s="12" t="s">
        <v>48</v>
      </c>
      <c r="D8" s="9" t="s">
        <v>25</v>
      </c>
      <c r="E8" s="13" t="s">
        <v>42</v>
      </c>
      <c r="F8" s="13" t="s">
        <v>27</v>
      </c>
      <c r="G8" s="14" t="s">
        <v>49</v>
      </c>
      <c r="H8" s="12" t="s">
        <v>50</v>
      </c>
      <c r="I8" s="12" t="s">
        <v>30</v>
      </c>
      <c r="J8" s="20">
        <v>45422</v>
      </c>
      <c r="K8" s="12" t="s">
        <v>31</v>
      </c>
      <c r="L8" s="9" t="s">
        <v>32</v>
      </c>
      <c r="M8" s="9" t="s">
        <v>33</v>
      </c>
      <c r="N8" s="9"/>
      <c r="O8" s="21">
        <f t="shared" si="0"/>
        <v>0</v>
      </c>
      <c r="P8" s="9"/>
      <c r="Q8" s="9"/>
      <c r="R8" s="9"/>
    </row>
    <row r="9" spans="1:18">
      <c r="A9" s="9">
        <v>8</v>
      </c>
      <c r="B9" s="9" t="s">
        <v>23</v>
      </c>
      <c r="C9" s="12" t="s">
        <v>51</v>
      </c>
      <c r="D9" s="9" t="s">
        <v>25</v>
      </c>
      <c r="E9" s="13" t="s">
        <v>52</v>
      </c>
      <c r="F9" s="13" t="s">
        <v>27</v>
      </c>
      <c r="G9" s="14" t="s">
        <v>53</v>
      </c>
      <c r="H9" s="12" t="s">
        <v>54</v>
      </c>
      <c r="I9" s="12" t="s">
        <v>30</v>
      </c>
      <c r="J9" s="20">
        <v>45422</v>
      </c>
      <c r="K9" s="12" t="s">
        <v>31</v>
      </c>
      <c r="L9" s="9" t="s">
        <v>32</v>
      </c>
      <c r="M9" s="9" t="s">
        <v>33</v>
      </c>
      <c r="N9" s="9"/>
      <c r="O9" s="21">
        <f t="shared" si="0"/>
        <v>0</v>
      </c>
      <c r="P9" s="9"/>
      <c r="Q9" s="9"/>
      <c r="R9" s="9"/>
    </row>
    <row r="10" spans="1:18">
      <c r="A10" s="9">
        <v>9</v>
      </c>
      <c r="B10" s="9" t="s">
        <v>23</v>
      </c>
      <c r="C10" s="12" t="s">
        <v>55</v>
      </c>
      <c r="D10" s="9" t="s">
        <v>25</v>
      </c>
      <c r="E10" s="13" t="s">
        <v>56</v>
      </c>
      <c r="F10" s="13" t="s">
        <v>27</v>
      </c>
      <c r="G10" s="14" t="s">
        <v>57</v>
      </c>
      <c r="H10" s="12" t="s">
        <v>58</v>
      </c>
      <c r="I10" s="12" t="s">
        <v>30</v>
      </c>
      <c r="J10" s="20">
        <v>45422</v>
      </c>
      <c r="K10" s="12" t="s">
        <v>31</v>
      </c>
      <c r="L10" s="9" t="s">
        <v>32</v>
      </c>
      <c r="M10" s="9" t="s">
        <v>33</v>
      </c>
      <c r="N10" s="9"/>
      <c r="O10" s="21">
        <f t="shared" si="0"/>
        <v>0</v>
      </c>
      <c r="P10" s="9"/>
      <c r="Q10" s="9"/>
      <c r="R10" s="9"/>
    </row>
    <row r="11" spans="1:18">
      <c r="A11" s="9">
        <v>10</v>
      </c>
      <c r="B11" s="9" t="s">
        <v>23</v>
      </c>
      <c r="C11" s="12" t="s">
        <v>59</v>
      </c>
      <c r="D11" s="9" t="s">
        <v>25</v>
      </c>
      <c r="E11" s="13" t="s">
        <v>60</v>
      </c>
      <c r="F11" s="13" t="s">
        <v>27</v>
      </c>
      <c r="G11" s="14" t="s">
        <v>61</v>
      </c>
      <c r="H11" s="12" t="s">
        <v>62</v>
      </c>
      <c r="I11" s="12" t="s">
        <v>30</v>
      </c>
      <c r="J11" s="20">
        <v>45422</v>
      </c>
      <c r="K11" s="12" t="s">
        <v>31</v>
      </c>
      <c r="L11" s="9" t="s">
        <v>32</v>
      </c>
      <c r="M11" s="9" t="s">
        <v>33</v>
      </c>
      <c r="N11" s="9"/>
      <c r="O11" s="21">
        <f t="shared" si="0"/>
        <v>0</v>
      </c>
      <c r="P11" s="9"/>
      <c r="Q11" s="9"/>
      <c r="R11" s="9"/>
    </row>
    <row r="12" spans="1:18">
      <c r="A12" s="9">
        <v>11</v>
      </c>
      <c r="B12" s="9" t="s">
        <v>23</v>
      </c>
      <c r="C12" s="12" t="s">
        <v>63</v>
      </c>
      <c r="D12" s="9" t="s">
        <v>25</v>
      </c>
      <c r="E12" s="13" t="s">
        <v>64</v>
      </c>
      <c r="F12" s="13" t="s">
        <v>27</v>
      </c>
      <c r="G12" s="14" t="s">
        <v>65</v>
      </c>
      <c r="H12" s="12" t="s">
        <v>66</v>
      </c>
      <c r="I12" s="12" t="s">
        <v>30</v>
      </c>
      <c r="J12" s="20">
        <v>45422</v>
      </c>
      <c r="K12" s="12" t="s">
        <v>31</v>
      </c>
      <c r="L12" s="9" t="s">
        <v>32</v>
      </c>
      <c r="M12" s="9" t="s">
        <v>33</v>
      </c>
      <c r="N12" s="9"/>
      <c r="O12" s="21">
        <f t="shared" si="0"/>
        <v>0</v>
      </c>
      <c r="P12" s="9"/>
      <c r="Q12" s="9"/>
      <c r="R12" s="9"/>
    </row>
    <row r="13" spans="1:18">
      <c r="A13" s="9">
        <v>12</v>
      </c>
      <c r="B13" s="9" t="s">
        <v>67</v>
      </c>
      <c r="C13" s="12" t="s">
        <v>24</v>
      </c>
      <c r="D13" s="9" t="s">
        <v>25</v>
      </c>
      <c r="E13" s="13" t="s">
        <v>68</v>
      </c>
      <c r="F13" s="13" t="s">
        <v>27</v>
      </c>
      <c r="G13" s="14" t="s">
        <v>69</v>
      </c>
      <c r="H13" s="12" t="s">
        <v>70</v>
      </c>
      <c r="I13" s="12" t="s">
        <v>30</v>
      </c>
      <c r="J13" s="20">
        <v>45420</v>
      </c>
      <c r="K13" s="12" t="s">
        <v>71</v>
      </c>
      <c r="L13" s="9" t="s">
        <v>21</v>
      </c>
      <c r="M13" s="9" t="s">
        <v>33</v>
      </c>
      <c r="N13" s="9"/>
      <c r="O13" s="21">
        <f t="shared" si="0"/>
        <v>0</v>
      </c>
      <c r="P13" s="9"/>
      <c r="Q13" s="9"/>
      <c r="R13" s="9"/>
    </row>
    <row r="14" spans="1:18">
      <c r="A14" s="9">
        <v>13</v>
      </c>
      <c r="B14" s="9" t="s">
        <v>67</v>
      </c>
      <c r="C14" s="12" t="s">
        <v>34</v>
      </c>
      <c r="D14" s="9" t="s">
        <v>25</v>
      </c>
      <c r="E14" s="13" t="s">
        <v>72</v>
      </c>
      <c r="F14" s="13" t="s">
        <v>27</v>
      </c>
      <c r="G14" s="14" t="s">
        <v>73</v>
      </c>
      <c r="H14" s="12" t="s">
        <v>74</v>
      </c>
      <c r="I14" s="12" t="s">
        <v>30</v>
      </c>
      <c r="J14" s="20">
        <v>45420</v>
      </c>
      <c r="K14" s="12" t="s">
        <v>71</v>
      </c>
      <c r="L14" s="9" t="s">
        <v>21</v>
      </c>
      <c r="M14" s="9" t="s">
        <v>33</v>
      </c>
      <c r="N14" s="9"/>
      <c r="O14" s="21">
        <f t="shared" si="0"/>
        <v>0</v>
      </c>
      <c r="P14" s="9"/>
      <c r="Q14" s="9"/>
      <c r="R14" s="9"/>
    </row>
    <row r="15" spans="1:18">
      <c r="A15" s="9">
        <v>14</v>
      </c>
      <c r="B15" s="9" t="s">
        <v>67</v>
      </c>
      <c r="C15" s="12" t="s">
        <v>37</v>
      </c>
      <c r="D15" s="9" t="s">
        <v>25</v>
      </c>
      <c r="E15" s="13" t="s">
        <v>60</v>
      </c>
      <c r="F15" s="13" t="s">
        <v>27</v>
      </c>
      <c r="G15" s="14" t="s">
        <v>75</v>
      </c>
      <c r="H15" s="12" t="s">
        <v>76</v>
      </c>
      <c r="I15" s="12" t="s">
        <v>30</v>
      </c>
      <c r="J15" s="20">
        <v>45420</v>
      </c>
      <c r="K15" s="12" t="s">
        <v>77</v>
      </c>
      <c r="L15" s="9" t="s">
        <v>21</v>
      </c>
      <c r="M15" s="9" t="s">
        <v>33</v>
      </c>
      <c r="N15" s="9"/>
      <c r="O15" s="21">
        <f t="shared" si="0"/>
        <v>0</v>
      </c>
      <c r="P15" s="9"/>
      <c r="Q15" s="9"/>
      <c r="R15" s="9"/>
    </row>
    <row r="16" spans="1:18">
      <c r="A16" s="9">
        <v>15</v>
      </c>
      <c r="B16" s="9" t="s">
        <v>67</v>
      </c>
      <c r="C16" s="12" t="s">
        <v>41</v>
      </c>
      <c r="D16" s="9" t="s">
        <v>25</v>
      </c>
      <c r="E16" s="13" t="s">
        <v>78</v>
      </c>
      <c r="F16" s="13" t="s">
        <v>79</v>
      </c>
      <c r="G16" s="14" t="s">
        <v>80</v>
      </c>
      <c r="H16" s="12" t="s">
        <v>81</v>
      </c>
      <c r="I16" s="12" t="s">
        <v>30</v>
      </c>
      <c r="J16" s="20">
        <v>45420</v>
      </c>
      <c r="K16" s="12" t="s">
        <v>71</v>
      </c>
      <c r="L16" s="9" t="s">
        <v>21</v>
      </c>
      <c r="M16" s="9" t="s">
        <v>33</v>
      </c>
      <c r="N16" s="9"/>
      <c r="O16" s="21">
        <f t="shared" si="0"/>
        <v>0</v>
      </c>
      <c r="P16" s="9"/>
      <c r="Q16" s="9"/>
      <c r="R16" s="9"/>
    </row>
    <row r="17" spans="1:18">
      <c r="A17" s="9">
        <v>16</v>
      </c>
      <c r="B17" s="9" t="s">
        <v>67</v>
      </c>
      <c r="C17" s="12" t="s">
        <v>45</v>
      </c>
      <c r="D17" s="9" t="s">
        <v>25</v>
      </c>
      <c r="E17" s="13" t="s">
        <v>82</v>
      </c>
      <c r="F17" s="13" t="s">
        <v>27</v>
      </c>
      <c r="G17" s="14" t="s">
        <v>83</v>
      </c>
      <c r="H17" s="12" t="s">
        <v>84</v>
      </c>
      <c r="I17" s="12" t="s">
        <v>30</v>
      </c>
      <c r="J17" s="20">
        <v>45420</v>
      </c>
      <c r="K17" s="12" t="s">
        <v>77</v>
      </c>
      <c r="L17" s="9" t="s">
        <v>21</v>
      </c>
      <c r="M17" s="9" t="s">
        <v>33</v>
      </c>
      <c r="N17" s="9"/>
      <c r="O17" s="21">
        <f t="shared" si="0"/>
        <v>0</v>
      </c>
      <c r="P17" s="9"/>
      <c r="Q17" s="9"/>
      <c r="R17" s="9"/>
    </row>
    <row r="18" spans="1:18">
      <c r="A18" s="9">
        <v>17</v>
      </c>
      <c r="B18" s="9" t="s">
        <v>67</v>
      </c>
      <c r="C18" s="12" t="s">
        <v>48</v>
      </c>
      <c r="D18" s="9" t="s">
        <v>25</v>
      </c>
      <c r="E18" s="13" t="s">
        <v>85</v>
      </c>
      <c r="F18" s="13" t="s">
        <v>79</v>
      </c>
      <c r="G18" s="14" t="s">
        <v>86</v>
      </c>
      <c r="H18" s="12" t="s">
        <v>87</v>
      </c>
      <c r="I18" s="12" t="s">
        <v>30</v>
      </c>
      <c r="J18" s="20">
        <v>45420</v>
      </c>
      <c r="K18" s="12" t="s">
        <v>71</v>
      </c>
      <c r="L18" s="9" t="s">
        <v>21</v>
      </c>
      <c r="M18" s="9" t="s">
        <v>33</v>
      </c>
      <c r="N18" s="9"/>
      <c r="O18" s="21">
        <f t="shared" si="0"/>
        <v>0</v>
      </c>
      <c r="P18" s="9"/>
      <c r="Q18" s="9"/>
      <c r="R18" s="9"/>
    </row>
    <row r="19" spans="1:18">
      <c r="A19" s="9">
        <v>18</v>
      </c>
      <c r="B19" s="9" t="s">
        <v>88</v>
      </c>
      <c r="C19" s="12" t="s">
        <v>24</v>
      </c>
      <c r="D19" s="9" t="s">
        <v>25</v>
      </c>
      <c r="E19" s="13" t="s">
        <v>78</v>
      </c>
      <c r="F19" s="13" t="s">
        <v>79</v>
      </c>
      <c r="G19" s="14" t="s">
        <v>89</v>
      </c>
      <c r="H19" s="12" t="s">
        <v>90</v>
      </c>
      <c r="I19" s="12" t="s">
        <v>30</v>
      </c>
      <c r="J19" s="20">
        <v>45422</v>
      </c>
      <c r="K19" s="12" t="s">
        <v>71</v>
      </c>
      <c r="L19" s="9" t="s">
        <v>21</v>
      </c>
      <c r="M19" s="9" t="s">
        <v>33</v>
      </c>
      <c r="N19" s="9"/>
      <c r="O19" s="21">
        <f t="shared" si="0"/>
        <v>0</v>
      </c>
      <c r="P19" s="9"/>
      <c r="Q19" s="9"/>
      <c r="R19" s="9"/>
    </row>
    <row r="20" spans="1:18">
      <c r="A20" s="9">
        <v>19</v>
      </c>
      <c r="B20" s="9" t="s">
        <v>88</v>
      </c>
      <c r="C20" s="12" t="s">
        <v>34</v>
      </c>
      <c r="D20" s="9" t="s">
        <v>25</v>
      </c>
      <c r="E20" s="13" t="s">
        <v>78</v>
      </c>
      <c r="F20" s="13" t="s">
        <v>79</v>
      </c>
      <c r="G20" s="14" t="s">
        <v>91</v>
      </c>
      <c r="H20" s="12" t="s">
        <v>92</v>
      </c>
      <c r="I20" s="12" t="s">
        <v>30</v>
      </c>
      <c r="J20" s="20">
        <v>45422</v>
      </c>
      <c r="K20" s="12" t="s">
        <v>71</v>
      </c>
      <c r="L20" s="9" t="s">
        <v>21</v>
      </c>
      <c r="M20" s="9" t="s">
        <v>33</v>
      </c>
      <c r="N20" s="9"/>
      <c r="O20" s="21">
        <f t="shared" si="0"/>
        <v>0</v>
      </c>
      <c r="P20" s="9"/>
      <c r="Q20" s="9"/>
      <c r="R20" s="9"/>
    </row>
    <row r="21" spans="1:18">
      <c r="A21" s="9">
        <v>20</v>
      </c>
      <c r="B21" s="9" t="s">
        <v>88</v>
      </c>
      <c r="C21" s="12" t="s">
        <v>37</v>
      </c>
      <c r="D21" s="9" t="s">
        <v>25</v>
      </c>
      <c r="E21" s="13" t="s">
        <v>93</v>
      </c>
      <c r="F21" s="13" t="s">
        <v>79</v>
      </c>
      <c r="G21" s="14" t="s">
        <v>94</v>
      </c>
      <c r="H21" s="12" t="s">
        <v>95</v>
      </c>
      <c r="I21" s="12" t="s">
        <v>30</v>
      </c>
      <c r="J21" s="20">
        <v>45422</v>
      </c>
      <c r="K21" s="12" t="s">
        <v>96</v>
      </c>
      <c r="L21" s="9" t="s">
        <v>21</v>
      </c>
      <c r="M21" s="9" t="s">
        <v>33</v>
      </c>
      <c r="N21" s="9"/>
      <c r="O21" s="21">
        <f t="shared" si="0"/>
        <v>0</v>
      </c>
      <c r="P21" s="9"/>
      <c r="Q21" s="9"/>
      <c r="R21" s="9"/>
    </row>
    <row r="22" ht="58.5" spans="1:18">
      <c r="A22" s="9">
        <v>21</v>
      </c>
      <c r="B22" s="9"/>
      <c r="C22" s="9"/>
      <c r="D22" s="9" t="s">
        <v>97</v>
      </c>
      <c r="E22" s="9"/>
      <c r="F22" s="9" t="s">
        <v>19</v>
      </c>
      <c r="G22" s="15" t="s">
        <v>98</v>
      </c>
      <c r="H22" s="11"/>
      <c r="I22" s="11"/>
      <c r="J22" s="20">
        <v>45425</v>
      </c>
      <c r="K22" s="20">
        <v>45430</v>
      </c>
      <c r="L22" s="9" t="s">
        <v>21</v>
      </c>
      <c r="M22" s="9" t="s">
        <v>99</v>
      </c>
      <c r="N22" s="9"/>
      <c r="O22" s="21">
        <f t="shared" ref="O22:O28" si="1">I22*N22</f>
        <v>0</v>
      </c>
      <c r="P22" s="9"/>
      <c r="Q22" s="9"/>
      <c r="R22" s="9" t="s">
        <v>100</v>
      </c>
    </row>
    <row r="23" ht="117" spans="1:18">
      <c r="A23" s="9">
        <v>22</v>
      </c>
      <c r="B23" s="9"/>
      <c r="C23" s="9"/>
      <c r="D23" s="9" t="s">
        <v>101</v>
      </c>
      <c r="E23" s="9"/>
      <c r="F23" s="9" t="s">
        <v>102</v>
      </c>
      <c r="G23" s="10" t="s">
        <v>103</v>
      </c>
      <c r="H23" s="11"/>
      <c r="I23" s="11"/>
      <c r="J23" s="20">
        <v>45425</v>
      </c>
      <c r="K23" s="20">
        <v>45430</v>
      </c>
      <c r="L23" s="9" t="s">
        <v>21</v>
      </c>
      <c r="M23" s="9" t="s">
        <v>22</v>
      </c>
      <c r="N23" s="9"/>
      <c r="O23" s="21">
        <f t="shared" si="1"/>
        <v>0</v>
      </c>
      <c r="P23" s="9"/>
      <c r="Q23" s="9"/>
      <c r="R23" s="9"/>
    </row>
    <row r="24" ht="39" spans="1:18">
      <c r="A24" s="9">
        <v>23</v>
      </c>
      <c r="B24" s="9"/>
      <c r="C24" s="9"/>
      <c r="D24" s="9" t="s">
        <v>101</v>
      </c>
      <c r="E24" s="9"/>
      <c r="F24" s="9" t="s">
        <v>104</v>
      </c>
      <c r="G24" s="10" t="s">
        <v>105</v>
      </c>
      <c r="H24" s="11"/>
      <c r="I24" s="11"/>
      <c r="J24" s="20">
        <v>45425</v>
      </c>
      <c r="K24" s="20">
        <v>45430</v>
      </c>
      <c r="L24" s="9" t="s">
        <v>21</v>
      </c>
      <c r="M24" s="9" t="s">
        <v>22</v>
      </c>
      <c r="N24" s="9"/>
      <c r="O24" s="21">
        <f t="shared" si="1"/>
        <v>0</v>
      </c>
      <c r="P24" s="9"/>
      <c r="Q24" s="9"/>
      <c r="R24" s="9"/>
    </row>
    <row r="25" spans="1:18">
      <c r="A25" s="9">
        <v>24</v>
      </c>
      <c r="B25" s="9"/>
      <c r="C25" s="9"/>
      <c r="D25" s="9" t="s">
        <v>106</v>
      </c>
      <c r="E25" s="9"/>
      <c r="F25" s="13" t="s">
        <v>27</v>
      </c>
      <c r="G25" s="16" t="s">
        <v>107</v>
      </c>
      <c r="H25" s="11"/>
      <c r="I25" s="11"/>
      <c r="J25" s="20">
        <v>45425</v>
      </c>
      <c r="K25" s="20">
        <v>45432</v>
      </c>
      <c r="L25" s="9" t="s">
        <v>21</v>
      </c>
      <c r="M25" s="9" t="s">
        <v>22</v>
      </c>
      <c r="N25" s="9"/>
      <c r="O25" s="21">
        <f t="shared" si="1"/>
        <v>0</v>
      </c>
      <c r="P25" s="9"/>
      <c r="Q25" s="9"/>
      <c r="R25" s="9"/>
    </row>
    <row r="26" spans="1:18">
      <c r="A26" s="9">
        <v>25</v>
      </c>
      <c r="B26" s="9"/>
      <c r="C26" s="9"/>
      <c r="D26" s="9" t="s">
        <v>108</v>
      </c>
      <c r="E26" s="9"/>
      <c r="F26" s="9" t="s">
        <v>109</v>
      </c>
      <c r="G26" s="16" t="s">
        <v>110</v>
      </c>
      <c r="H26" s="11"/>
      <c r="I26" s="11"/>
      <c r="J26" s="20">
        <v>45426</v>
      </c>
      <c r="K26" s="9"/>
      <c r="L26" s="9" t="s">
        <v>21</v>
      </c>
      <c r="M26" s="9" t="s">
        <v>22</v>
      </c>
      <c r="N26" s="9"/>
      <c r="O26" s="21">
        <f t="shared" si="1"/>
        <v>0</v>
      </c>
      <c r="P26" s="9"/>
      <c r="Q26" s="9"/>
      <c r="R26" s="9" t="s">
        <v>111</v>
      </c>
    </row>
    <row r="27" ht="97.5" spans="1:18">
      <c r="A27" s="9">
        <v>26</v>
      </c>
      <c r="B27" s="9"/>
      <c r="C27" s="9"/>
      <c r="D27" s="9" t="s">
        <v>112</v>
      </c>
      <c r="E27" s="9"/>
      <c r="F27" s="9" t="s">
        <v>113</v>
      </c>
      <c r="G27" s="10" t="s">
        <v>114</v>
      </c>
      <c r="H27" s="11"/>
      <c r="I27" s="11"/>
      <c r="J27" s="20">
        <v>45427</v>
      </c>
      <c r="K27" s="9"/>
      <c r="L27" s="9" t="s">
        <v>21</v>
      </c>
      <c r="M27" s="9" t="s">
        <v>22</v>
      </c>
      <c r="N27" s="9"/>
      <c r="O27" s="21">
        <f t="shared" si="1"/>
        <v>0</v>
      </c>
      <c r="P27" s="9"/>
      <c r="Q27" s="9"/>
      <c r="R27" s="9"/>
    </row>
    <row r="28" ht="17.25" spans="1:18">
      <c r="A28" s="9">
        <v>27</v>
      </c>
      <c r="B28" s="9" t="s">
        <v>115</v>
      </c>
      <c r="C28" s="12" t="s">
        <v>24</v>
      </c>
      <c r="D28" s="9" t="s">
        <v>25</v>
      </c>
      <c r="E28" s="9" t="s">
        <v>38</v>
      </c>
      <c r="F28" s="17" t="s">
        <v>27</v>
      </c>
      <c r="G28" s="17" t="s">
        <v>116</v>
      </c>
      <c r="H28" s="17">
        <v>30.566</v>
      </c>
      <c r="I28" s="11">
        <v>109</v>
      </c>
      <c r="J28" s="22">
        <v>45425</v>
      </c>
      <c r="K28" s="23">
        <v>45429</v>
      </c>
      <c r="L28" s="9" t="s">
        <v>32</v>
      </c>
      <c r="M28" s="9" t="s">
        <v>22</v>
      </c>
      <c r="N28" s="9"/>
      <c r="O28" s="21">
        <f t="shared" si="1"/>
        <v>0</v>
      </c>
      <c r="P28" s="9"/>
      <c r="Q28" s="9"/>
      <c r="R28" s="9"/>
    </row>
  </sheetData>
  <autoFilter ref="A1:R2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2023-05-12T11:15:00Z</dcterms:created>
  <dcterms:modified xsi:type="dcterms:W3CDTF">2024-05-15T14:25:39Z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D5FDDCEE43D84DD3B9A6DF5FCA473AC6_13</vt:lpwstr>
  </property>
</Properties>
</file>